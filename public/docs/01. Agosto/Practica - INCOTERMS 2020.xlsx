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e722e7ef249246/Intur Perù/INCOTERMS 2020/"/>
    </mc:Choice>
  </mc:AlternateContent>
  <xr:revisionPtr revIDLastSave="48" documentId="8_{65E4C3B7-3FBF-4C48-B884-61DEC086EDE8}" xr6:coauthVersionLast="47" xr6:coauthVersionMax="47" xr10:uidLastSave="{F7DEC401-604E-4334-AD47-190525A2D879}"/>
  <bookViews>
    <workbookView xWindow="-21540" yWindow="-2595" windowWidth="18225" windowHeight="15705" xr2:uid="{B8F0D59D-289C-4A78-BC96-AAC1B6DA199D}"/>
  </bookViews>
  <sheets>
    <sheet name="CARGA MARITIMA LCL ( SUELTA)" sheetId="1" r:id="rId1"/>
    <sheet name="CARGA AERE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9" i="2" l="1"/>
  <c r="I73" i="2"/>
  <c r="I60" i="2"/>
  <c r="I54" i="2"/>
  <c r="E2" i="2"/>
  <c r="A15" i="1"/>
  <c r="E5" i="1"/>
  <c r="I34" i="2"/>
  <c r="G41" i="2"/>
  <c r="I23" i="2"/>
  <c r="B14" i="2"/>
  <c r="B13" i="2"/>
  <c r="E99" i="1"/>
  <c r="E81" i="1"/>
  <c r="E74" i="1"/>
  <c r="E63" i="1"/>
  <c r="E61" i="1"/>
  <c r="E41" i="1"/>
  <c r="E43" i="1" s="1"/>
  <c r="E32" i="1"/>
  <c r="E27" i="1"/>
  <c r="D14" i="1"/>
  <c r="F14" i="1" s="1"/>
  <c r="E3" i="1"/>
  <c r="E2" i="1"/>
</calcChain>
</file>

<file path=xl/sharedStrings.xml><?xml version="1.0" encoding="utf-8"?>
<sst xmlns="http://schemas.openxmlformats.org/spreadsheetml/2006/main" count="193" uniqueCount="110">
  <si>
    <t>cms</t>
  </si>
  <si>
    <t>m3</t>
  </si>
  <si>
    <t>cbm(m3)</t>
  </si>
  <si>
    <t>metros(m)</t>
  </si>
  <si>
    <t>0.00072m3|1m3</t>
  </si>
  <si>
    <t>ejemplo</t>
  </si>
  <si>
    <t>10 paletas  ceramica</t>
  </si>
  <si>
    <t>120cms x100cmsx110cms</t>
  </si>
  <si>
    <t>Dimensiones convertimos a metros</t>
  </si>
  <si>
    <t>( volument total por 10 paletas)</t>
  </si>
  <si>
    <t>peso bruto por bulto 900kgs</t>
  </si>
  <si>
    <t>kgs</t>
  </si>
  <si>
    <t>13.2m3</t>
  </si>
  <si>
    <t>Debemos comparar el peso el mayor ( para hallar el flete):</t>
  </si>
  <si>
    <t>9000kgs/9tns</t>
  </si>
  <si>
    <t>Incoterm FOB</t>
  </si>
  <si>
    <t>Vendedor</t>
  </si>
  <si>
    <t>es responsable de los gastos de exportación pero sin considerar el flete)</t>
  </si>
  <si>
    <t>Transporte local Origen</t>
  </si>
  <si>
    <t>Agenciamiento de aduanas Origen</t>
  </si>
  <si>
    <t>Gastos de documentación para exportación</t>
  </si>
  <si>
    <t xml:space="preserve">Gastos de consolidación de la carga </t>
  </si>
  <si>
    <t>Gastos que asume el vendedor:</t>
  </si>
  <si>
    <t>otros gastos de Origen (gastos de almacen, inspección de carga)</t>
  </si>
  <si>
    <t>Total a pagar por el exportador| vendedor|embarcador</t>
  </si>
  <si>
    <t>Valor de la mercaderia USD 10,000.00</t>
  </si>
  <si>
    <t>Origen</t>
  </si>
  <si>
    <t>Destino</t>
  </si>
  <si>
    <t>Callao</t>
  </si>
  <si>
    <t>Shanghai</t>
  </si>
  <si>
    <t xml:space="preserve">Agente de Carga Internacional </t>
  </si>
  <si>
    <t>Flete</t>
  </si>
  <si>
    <t>Tn/m3</t>
  </si>
  <si>
    <t>Flete Shanghai</t>
  </si>
  <si>
    <t>Comprador</t>
  </si>
  <si>
    <t xml:space="preserve">Flete Internacional </t>
  </si>
  <si>
    <t>Transporte local de destino</t>
  </si>
  <si>
    <t>Agenciamiento de aduanas de destino</t>
  </si>
  <si>
    <t>Gastos de Importación</t>
  </si>
  <si>
    <t>Otros gastos de destino ( inspecciones de la carga, resguardo, almacén)</t>
  </si>
  <si>
    <t>Seguro de carga</t>
  </si>
  <si>
    <t>Total a pagar por importador | comprador | consignatario</t>
  </si>
  <si>
    <t>Valor de la mercadería</t>
  </si>
  <si>
    <t xml:space="preserve">Total a considerar </t>
  </si>
  <si>
    <t>es responsable de los gastos de importación considerando el flete)</t>
  </si>
  <si>
    <t>Incoterm EXW</t>
  </si>
  <si>
    <t xml:space="preserve">es responsable de entregar en su fabrica (correctamete embalada) </t>
  </si>
  <si>
    <t>Venta de la mercadería</t>
  </si>
  <si>
    <t xml:space="preserve">Comprador </t>
  </si>
  <si>
    <t>es responsable de recoger la carga desde la fabrica y llevarla almacén</t>
  </si>
  <si>
    <t>Gastos de documentación para exportación ( certificado de Origen)</t>
  </si>
  <si>
    <t>Total de ingreso</t>
  </si>
  <si>
    <t>Total EXW</t>
  </si>
  <si>
    <t>Incoterm CIF</t>
  </si>
  <si>
    <t>Control y manejo de la mercadería hasta el puerto acordado</t>
  </si>
  <si>
    <t>USD 50.00</t>
  </si>
  <si>
    <t>Total CIF</t>
  </si>
  <si>
    <t>gastos locales de destino hasta la entrega de la carga almacén</t>
  </si>
  <si>
    <t>Seguro de carga desde puerto a puerta</t>
  </si>
  <si>
    <t>Total a considerar en destino</t>
  </si>
  <si>
    <t>Incoterm DDP</t>
  </si>
  <si>
    <t>asume todos los costos de origen y destino incluyendo impuestos y Derechos</t>
  </si>
  <si>
    <t>Impuesto y Derechos</t>
  </si>
  <si>
    <t>Gastos de Importación ( desconsolidacion)</t>
  </si>
  <si>
    <t>Total DDP</t>
  </si>
  <si>
    <t>Sólo realiza el pago de la mercadería al vendedor</t>
  </si>
  <si>
    <t>KGVOL</t>
  </si>
  <si>
    <t>CMS</t>
  </si>
  <si>
    <t>kgvol</t>
  </si>
  <si>
    <t>metros</t>
  </si>
  <si>
    <t>medidas en</t>
  </si>
  <si>
    <t>(medidas en metros)</t>
  </si>
  <si>
    <t>120cms x100cmsx120cms</t>
  </si>
  <si>
    <t>peso bruto por bulto 250kgs</t>
  </si>
  <si>
    <t>Debemos comparar el peso el mayor ( para hallar el flete aéreo):</t>
  </si>
  <si>
    <t>Kbruto</t>
  </si>
  <si>
    <t>El peso mayor p.bruto 2500kgs</t>
  </si>
  <si>
    <t>Incoterm FCA</t>
  </si>
  <si>
    <t>es responsable de los gastos de exportación hasta el punto de entrega de la mercadería acordado con el comprador</t>
  </si>
  <si>
    <t>Gastos del tranporte local en Origen</t>
  </si>
  <si>
    <t>Agenciamiento de Aduana en Origen</t>
  </si>
  <si>
    <t>Gastos de exportación en origen ( handling, emisión AWB, Certificado de Origen)</t>
  </si>
  <si>
    <t>es responsable de asumir los gastos desde el punto acordado Origen hasta la entrega de la carga en su almacén en destino</t>
  </si>
  <si>
    <t>Flete Internacional aéreo</t>
  </si>
  <si>
    <t>Transporte interno ( almacén de entrega de la carga por el exportador hacia aeropuerto)</t>
  </si>
  <si>
    <t>Agenciamiento de aduanas en destino</t>
  </si>
  <si>
    <t>Gastos de almacén en destino</t>
  </si>
  <si>
    <t>Gastos de almacén en Origen</t>
  </si>
  <si>
    <t>Gastos de Importacion ( permisos, resguardo)</t>
  </si>
  <si>
    <t>Transporte local destino</t>
  </si>
  <si>
    <t>Impuestos &amp; Derechos</t>
  </si>
  <si>
    <t>Seguro de Carga</t>
  </si>
  <si>
    <t xml:space="preserve">Origen </t>
  </si>
  <si>
    <t>La India</t>
  </si>
  <si>
    <t xml:space="preserve">Destino </t>
  </si>
  <si>
    <t>Lima</t>
  </si>
  <si>
    <t>Flete internacional Aéreo</t>
  </si>
  <si>
    <t>KGVOL/KBRUTO</t>
  </si>
  <si>
    <t>Agencia de Carga Internacional</t>
  </si>
  <si>
    <t>Flete La India</t>
  </si>
  <si>
    <t xml:space="preserve">Total FCA </t>
  </si>
  <si>
    <t>Gastos que asume Vendedor</t>
  </si>
  <si>
    <t>0.28% -0.35% valor de la mercaderia min Usd 50-120</t>
  </si>
  <si>
    <t>Incoterm DPU</t>
  </si>
  <si>
    <t>es responsable de los gastos de exportación hasta el punto de entrega de la mercadería acordado con el comprador junto con la descarga en el almacen</t>
  </si>
  <si>
    <t>TOTAL DPU</t>
  </si>
  <si>
    <t>es responsable de asumir los gastos de la importación que no incluyen la descarga</t>
  </si>
  <si>
    <t>DESCARGA (USO DE CUADRILLAS, MONTACARGA)</t>
  </si>
  <si>
    <t>Incoterm DAP</t>
  </si>
  <si>
    <t>es responsable de los gastos de exportación hasta el punto de entrega de la mercadería acordado con el comprador SIN CONSIDERAR LOS IMPUESTOS &amp; DERECHOS Y GASTOS RELACIONADOS AL DESADUANAJE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</si>
</sst>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;[Red][$USD]\ #,##0.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2" borderId="0" xfId="0" applyFill="1"/>
    <xf numFmtId="0" fontId="1" fillId="2" borderId="0" xfId="0" applyFont="1" applyFill="1"/>
    <xf numFmtId="2" fontId="1" fillId="2" borderId="0" xfId="0" applyNumberFormat="1" applyFont="1" applyFill="1"/>
    <xf numFmtId="0" fontId="4" fillId="0" borderId="0" xfId="0" applyFont="1"/>
    <xf numFmtId="0" fontId="2" fillId="0" borderId="0" xfId="0" applyFont="1"/>
    <xf numFmtId="0" fontId="5" fillId="0" borderId="0" xfId="0" applyFont="1"/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0" fontId="2" fillId="2" borderId="0" xfId="0" applyFont="1" applyFill="1"/>
    <xf numFmtId="164" fontId="2" fillId="0" borderId="0" xfId="0" applyNumberFormat="1" applyFont="1"/>
    <xf numFmtId="164" fontId="2" fillId="2" borderId="0" xfId="0" applyNumberFormat="1" applyFont="1" applyFill="1"/>
    <xf numFmtId="164" fontId="0" fillId="0" borderId="0" xfId="0" applyNumberFormat="1" applyAlignment="1">
      <alignment horizontal="right"/>
    </xf>
    <xf numFmtId="0" fontId="0" fillId="3" borderId="0" xfId="0" applyFill="1"/>
    <xf numFmtId="164" fontId="0" fillId="3" borderId="0" xfId="0" applyNumberFormat="1" applyFill="1"/>
    <xf numFmtId="2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F35D-6B27-4918-915F-99A1E181987A}">
  <dimension ref="A1:G101"/>
  <sheetViews>
    <sheetView tabSelected="1" topLeftCell="A58" workbookViewId="0">
      <selection activeCell="A65" sqref="A65"/>
    </sheetView>
  </sheetViews>
  <sheetFormatPr baseColWidth="10" defaultRowHeight="15" x14ac:dyDescent="0.25"/>
  <cols>
    <col min="1" max="1" width="14" customWidth="1"/>
    <col min="4" max="4" width="31.7109375" customWidth="1"/>
    <col min="5" max="5" width="14.28515625" bestFit="1" customWidth="1"/>
  </cols>
  <sheetData>
    <row r="1" spans="1:7" x14ac:dyDescent="0.25">
      <c r="B1" t="s">
        <v>0</v>
      </c>
    </row>
    <row r="2" spans="1:7" x14ac:dyDescent="0.25">
      <c r="A2" t="s">
        <v>2</v>
      </c>
      <c r="B2">
        <v>0.6</v>
      </c>
      <c r="C2">
        <v>0.4</v>
      </c>
      <c r="D2">
        <v>0.3</v>
      </c>
      <c r="E2">
        <f>(B2*C2*D2)/1000</f>
        <v>7.1999999999999988E-5</v>
      </c>
      <c r="F2" t="s">
        <v>1</v>
      </c>
      <c r="G2" t="s">
        <v>4</v>
      </c>
    </row>
    <row r="3" spans="1:7" x14ac:dyDescent="0.25">
      <c r="B3">
        <v>70</v>
      </c>
      <c r="C3">
        <v>90</v>
      </c>
      <c r="D3">
        <v>100</v>
      </c>
      <c r="E3">
        <f>(B3*C3*D3)/1000</f>
        <v>630</v>
      </c>
      <c r="F3" t="s">
        <v>1</v>
      </c>
    </row>
    <row r="4" spans="1:7" x14ac:dyDescent="0.25">
      <c r="A4" t="s">
        <v>2</v>
      </c>
      <c r="B4" t="s">
        <v>3</v>
      </c>
      <c r="C4" t="s">
        <v>71</v>
      </c>
    </row>
    <row r="5" spans="1:7" x14ac:dyDescent="0.25">
      <c r="B5">
        <v>1.2</v>
      </c>
      <c r="C5">
        <v>1.1000000000000001</v>
      </c>
      <c r="D5">
        <v>1.5</v>
      </c>
      <c r="E5">
        <f>B5*C5*D5</f>
        <v>1.98</v>
      </c>
      <c r="F5" t="s">
        <v>1</v>
      </c>
    </row>
    <row r="7" spans="1:7" ht="18.75" x14ac:dyDescent="0.3">
      <c r="A7" s="1" t="s">
        <v>5</v>
      </c>
      <c r="B7" s="1"/>
      <c r="C7" s="1"/>
    </row>
    <row r="8" spans="1:7" ht="18.75" x14ac:dyDescent="0.3">
      <c r="A8" s="1" t="s">
        <v>6</v>
      </c>
      <c r="B8" s="1"/>
      <c r="C8" s="1"/>
    </row>
    <row r="9" spans="1:7" ht="18.75" x14ac:dyDescent="0.3">
      <c r="A9" s="1" t="s">
        <v>7</v>
      </c>
      <c r="B9" s="1"/>
      <c r="C9" s="1"/>
    </row>
    <row r="10" spans="1:7" ht="18.75" x14ac:dyDescent="0.3">
      <c r="A10" s="1" t="s">
        <v>10</v>
      </c>
      <c r="B10" s="1"/>
      <c r="C10" s="1"/>
    </row>
    <row r="11" spans="1:7" ht="18.75" x14ac:dyDescent="0.3">
      <c r="A11" s="1" t="s">
        <v>25</v>
      </c>
    </row>
    <row r="13" spans="1:7" ht="18.75" x14ac:dyDescent="0.3">
      <c r="A13" s="1" t="s">
        <v>8</v>
      </c>
    </row>
    <row r="14" spans="1:7" x14ac:dyDescent="0.25">
      <c r="A14">
        <v>1.2</v>
      </c>
      <c r="B14">
        <v>1</v>
      </c>
      <c r="C14">
        <v>1.1000000000000001</v>
      </c>
      <c r="D14" s="2">
        <f>A14*B14*C14</f>
        <v>1.32</v>
      </c>
      <c r="E14" s="2" t="s">
        <v>1</v>
      </c>
      <c r="F14" s="4">
        <f>10*D14</f>
        <v>13.200000000000001</v>
      </c>
      <c r="G14" t="s">
        <v>9</v>
      </c>
    </row>
    <row r="15" spans="1:7" x14ac:dyDescent="0.25">
      <c r="A15" s="3">
        <f>10*900</f>
        <v>9000</v>
      </c>
      <c r="B15" s="3" t="s">
        <v>11</v>
      </c>
    </row>
    <row r="16" spans="1:7" x14ac:dyDescent="0.25">
      <c r="A16" t="s">
        <v>13</v>
      </c>
    </row>
    <row r="17" spans="1:6" x14ac:dyDescent="0.25">
      <c r="A17" s="5" t="s">
        <v>12</v>
      </c>
      <c r="B17" s="5" t="s">
        <v>14</v>
      </c>
    </row>
    <row r="19" spans="1:6" x14ac:dyDescent="0.25">
      <c r="A19" s="11" t="s">
        <v>15</v>
      </c>
      <c r="B19" s="2"/>
    </row>
    <row r="20" spans="1:6" x14ac:dyDescent="0.25">
      <c r="A20" s="7" t="s">
        <v>16</v>
      </c>
      <c r="B20" t="s">
        <v>17</v>
      </c>
    </row>
    <row r="21" spans="1:6" x14ac:dyDescent="0.25">
      <c r="A21" t="s">
        <v>22</v>
      </c>
    </row>
    <row r="22" spans="1:6" x14ac:dyDescent="0.25">
      <c r="A22" t="s">
        <v>18</v>
      </c>
      <c r="E22" s="8">
        <v>300</v>
      </c>
    </row>
    <row r="23" spans="1:6" x14ac:dyDescent="0.25">
      <c r="A23" t="s">
        <v>19</v>
      </c>
      <c r="E23" s="8">
        <v>120</v>
      </c>
    </row>
    <row r="24" spans="1:6" x14ac:dyDescent="0.25">
      <c r="A24" t="s">
        <v>20</v>
      </c>
      <c r="E24" s="8">
        <v>50</v>
      </c>
    </row>
    <row r="25" spans="1:6" x14ac:dyDescent="0.25">
      <c r="A25" t="s">
        <v>21</v>
      </c>
      <c r="E25" s="8">
        <v>300</v>
      </c>
    </row>
    <row r="26" spans="1:6" x14ac:dyDescent="0.25">
      <c r="A26" t="s">
        <v>23</v>
      </c>
      <c r="E26" s="8">
        <v>200</v>
      </c>
    </row>
    <row r="27" spans="1:6" x14ac:dyDescent="0.25">
      <c r="A27" s="9" t="s">
        <v>24</v>
      </c>
      <c r="B27" s="9"/>
      <c r="C27" s="9"/>
      <c r="D27" s="9"/>
      <c r="E27" s="10">
        <f>SUM(E22:E26)</f>
        <v>970</v>
      </c>
    </row>
    <row r="29" spans="1:6" x14ac:dyDescent="0.25">
      <c r="A29" t="s">
        <v>26</v>
      </c>
      <c r="B29" t="s">
        <v>29</v>
      </c>
    </row>
    <row r="30" spans="1:6" x14ac:dyDescent="0.25">
      <c r="A30" t="s">
        <v>27</v>
      </c>
      <c r="B30" t="s">
        <v>28</v>
      </c>
    </row>
    <row r="31" spans="1:6" x14ac:dyDescent="0.25">
      <c r="A31" t="s">
        <v>30</v>
      </c>
      <c r="D31" t="s">
        <v>31</v>
      </c>
      <c r="E31" s="8">
        <v>20</v>
      </c>
      <c r="F31" s="6" t="s">
        <v>32</v>
      </c>
    </row>
    <row r="32" spans="1:6" x14ac:dyDescent="0.25">
      <c r="D32" s="6" t="s">
        <v>33</v>
      </c>
      <c r="E32" s="12">
        <f>E31*13.2</f>
        <v>264</v>
      </c>
    </row>
    <row r="34" spans="1:5" x14ac:dyDescent="0.25">
      <c r="A34" s="7" t="s">
        <v>34</v>
      </c>
      <c r="B34" t="s">
        <v>44</v>
      </c>
      <c r="E34" s="8"/>
    </row>
    <row r="35" spans="1:5" x14ac:dyDescent="0.25">
      <c r="A35" t="s">
        <v>35</v>
      </c>
      <c r="E35" s="8">
        <v>264</v>
      </c>
    </row>
    <row r="36" spans="1:5" x14ac:dyDescent="0.25">
      <c r="A36" t="s">
        <v>36</v>
      </c>
      <c r="E36" s="8">
        <v>120</v>
      </c>
    </row>
    <row r="37" spans="1:5" x14ac:dyDescent="0.25">
      <c r="A37" t="s">
        <v>37</v>
      </c>
      <c r="E37" s="8">
        <v>130</v>
      </c>
    </row>
    <row r="38" spans="1:5" x14ac:dyDescent="0.25">
      <c r="A38" t="s">
        <v>38</v>
      </c>
      <c r="E38" s="8">
        <v>560</v>
      </c>
    </row>
    <row r="39" spans="1:5" x14ac:dyDescent="0.25">
      <c r="A39" t="s">
        <v>39</v>
      </c>
      <c r="E39" s="8">
        <v>450</v>
      </c>
    </row>
    <row r="40" spans="1:5" x14ac:dyDescent="0.25">
      <c r="A40" t="s">
        <v>40</v>
      </c>
      <c r="E40" s="8">
        <v>50</v>
      </c>
    </row>
    <row r="41" spans="1:5" x14ac:dyDescent="0.25">
      <c r="A41" s="9" t="s">
        <v>41</v>
      </c>
      <c r="B41" s="9"/>
      <c r="C41" s="9"/>
      <c r="D41" s="9"/>
      <c r="E41" s="10">
        <f>SUM(E35:E40)</f>
        <v>1574</v>
      </c>
    </row>
    <row r="42" spans="1:5" x14ac:dyDescent="0.25">
      <c r="A42" t="s">
        <v>42</v>
      </c>
      <c r="E42" s="12">
        <v>10000</v>
      </c>
    </row>
    <row r="43" spans="1:5" x14ac:dyDescent="0.25">
      <c r="D43" s="6" t="s">
        <v>43</v>
      </c>
      <c r="E43" s="12">
        <f>SUM(E41:E42)</f>
        <v>11574</v>
      </c>
    </row>
    <row r="45" spans="1:5" x14ac:dyDescent="0.25">
      <c r="A45" s="11" t="s">
        <v>45</v>
      </c>
      <c r="B45" s="2"/>
    </row>
    <row r="46" spans="1:5" x14ac:dyDescent="0.25">
      <c r="A46" s="7" t="s">
        <v>16</v>
      </c>
      <c r="B46" t="s">
        <v>46</v>
      </c>
    </row>
    <row r="47" spans="1:5" x14ac:dyDescent="0.25">
      <c r="A47" t="s">
        <v>47</v>
      </c>
      <c r="E47" s="12">
        <v>10000</v>
      </c>
    </row>
    <row r="48" spans="1:5" x14ac:dyDescent="0.25">
      <c r="D48" s="11" t="s">
        <v>51</v>
      </c>
      <c r="E48" s="13">
        <v>10000</v>
      </c>
    </row>
    <row r="49" spans="1:5" x14ac:dyDescent="0.25">
      <c r="A49" s="7" t="s">
        <v>48</v>
      </c>
      <c r="B49" t="s">
        <v>49</v>
      </c>
    </row>
    <row r="50" spans="1:5" x14ac:dyDescent="0.25">
      <c r="A50" t="s">
        <v>18</v>
      </c>
      <c r="E50" s="8">
        <v>300</v>
      </c>
    </row>
    <row r="51" spans="1:5" x14ac:dyDescent="0.25">
      <c r="A51" t="s">
        <v>19</v>
      </c>
      <c r="E51" s="8">
        <v>120</v>
      </c>
    </row>
    <row r="52" spans="1:5" x14ac:dyDescent="0.25">
      <c r="A52" t="s">
        <v>50</v>
      </c>
      <c r="E52" s="8">
        <v>50</v>
      </c>
    </row>
    <row r="53" spans="1:5" x14ac:dyDescent="0.25">
      <c r="A53" t="s">
        <v>21</v>
      </c>
      <c r="E53" s="8">
        <v>300</v>
      </c>
    </row>
    <row r="54" spans="1:5" x14ac:dyDescent="0.25">
      <c r="A54" t="s">
        <v>23</v>
      </c>
      <c r="E54" s="8">
        <v>200</v>
      </c>
    </row>
    <row r="55" spans="1:5" x14ac:dyDescent="0.25">
      <c r="A55" t="s">
        <v>35</v>
      </c>
      <c r="E55" s="8">
        <v>264</v>
      </c>
    </row>
    <row r="56" spans="1:5" x14ac:dyDescent="0.25">
      <c r="A56" t="s">
        <v>36</v>
      </c>
      <c r="E56" s="8">
        <v>120</v>
      </c>
    </row>
    <row r="57" spans="1:5" x14ac:dyDescent="0.25">
      <c r="A57" t="s">
        <v>37</v>
      </c>
      <c r="E57" s="8">
        <v>130</v>
      </c>
    </row>
    <row r="58" spans="1:5" x14ac:dyDescent="0.25">
      <c r="A58" t="s">
        <v>63</v>
      </c>
      <c r="E58" s="8">
        <v>560</v>
      </c>
    </row>
    <row r="59" spans="1:5" x14ac:dyDescent="0.25">
      <c r="A59" t="s">
        <v>39</v>
      </c>
      <c r="E59" s="8">
        <v>450</v>
      </c>
    </row>
    <row r="60" spans="1:5" x14ac:dyDescent="0.25">
      <c r="A60" t="s">
        <v>40</v>
      </c>
      <c r="E60" s="8">
        <v>50</v>
      </c>
    </row>
    <row r="61" spans="1:5" x14ac:dyDescent="0.25">
      <c r="D61" t="s">
        <v>52</v>
      </c>
      <c r="E61" s="8">
        <f>SUM(E50:E60)</f>
        <v>2544</v>
      </c>
    </row>
    <row r="62" spans="1:5" x14ac:dyDescent="0.25">
      <c r="A62" t="s">
        <v>42</v>
      </c>
      <c r="E62" s="12">
        <v>10000</v>
      </c>
    </row>
    <row r="63" spans="1:5" x14ac:dyDescent="0.25">
      <c r="D63" s="11" t="s">
        <v>43</v>
      </c>
      <c r="E63" s="13">
        <f>SUM(E61:E62)</f>
        <v>12544</v>
      </c>
    </row>
    <row r="64" spans="1:5" x14ac:dyDescent="0.25">
      <c r="E64" s="8"/>
    </row>
    <row r="65" spans="1:5" x14ac:dyDescent="0.25">
      <c r="A65" s="11" t="s">
        <v>53</v>
      </c>
    </row>
    <row r="66" spans="1:5" x14ac:dyDescent="0.25">
      <c r="A66" s="7" t="s">
        <v>16</v>
      </c>
      <c r="B66" t="s">
        <v>54</v>
      </c>
    </row>
    <row r="67" spans="1:5" x14ac:dyDescent="0.25">
      <c r="A67" t="s">
        <v>18</v>
      </c>
      <c r="E67" s="8">
        <v>300</v>
      </c>
    </row>
    <row r="68" spans="1:5" x14ac:dyDescent="0.25">
      <c r="A68" t="s">
        <v>19</v>
      </c>
      <c r="E68" s="8">
        <v>120</v>
      </c>
    </row>
    <row r="69" spans="1:5" x14ac:dyDescent="0.25">
      <c r="A69" t="s">
        <v>20</v>
      </c>
      <c r="E69" s="8">
        <v>50</v>
      </c>
    </row>
    <row r="70" spans="1:5" x14ac:dyDescent="0.25">
      <c r="A70" t="s">
        <v>21</v>
      </c>
      <c r="E70" s="8">
        <v>300</v>
      </c>
    </row>
    <row r="71" spans="1:5" x14ac:dyDescent="0.25">
      <c r="A71" t="s">
        <v>23</v>
      </c>
      <c r="E71" s="8">
        <v>200</v>
      </c>
    </row>
    <row r="72" spans="1:5" x14ac:dyDescent="0.25">
      <c r="A72" s="6" t="s">
        <v>40</v>
      </c>
      <c r="E72" s="14" t="s">
        <v>55</v>
      </c>
    </row>
    <row r="73" spans="1:5" x14ac:dyDescent="0.25">
      <c r="A73" s="6" t="s">
        <v>35</v>
      </c>
      <c r="E73" s="8">
        <v>264</v>
      </c>
    </row>
    <row r="74" spans="1:5" x14ac:dyDescent="0.25">
      <c r="D74" s="6" t="s">
        <v>56</v>
      </c>
      <c r="E74" s="12">
        <f>SUM(E67:E73)</f>
        <v>1234</v>
      </c>
    </row>
    <row r="75" spans="1:5" x14ac:dyDescent="0.25">
      <c r="A75" s="7" t="s">
        <v>34</v>
      </c>
      <c r="B75" t="s">
        <v>57</v>
      </c>
    </row>
    <row r="76" spans="1:5" x14ac:dyDescent="0.25">
      <c r="A76" t="s">
        <v>36</v>
      </c>
      <c r="E76" s="8">
        <v>120</v>
      </c>
    </row>
    <row r="77" spans="1:5" x14ac:dyDescent="0.25">
      <c r="A77" t="s">
        <v>37</v>
      </c>
      <c r="E77" s="8">
        <v>130</v>
      </c>
    </row>
    <row r="78" spans="1:5" x14ac:dyDescent="0.25">
      <c r="A78" t="s">
        <v>38</v>
      </c>
      <c r="E78" s="8">
        <v>560</v>
      </c>
    </row>
    <row r="79" spans="1:5" x14ac:dyDescent="0.25">
      <c r="A79" t="s">
        <v>39</v>
      </c>
      <c r="E79" s="8">
        <v>450</v>
      </c>
    </row>
    <row r="80" spans="1:5" x14ac:dyDescent="0.25">
      <c r="A80" s="6" t="s">
        <v>58</v>
      </c>
      <c r="E80" s="8">
        <v>50</v>
      </c>
    </row>
    <row r="81" spans="1:5" x14ac:dyDescent="0.25">
      <c r="D81" t="s">
        <v>59</v>
      </c>
      <c r="E81" s="8">
        <f>SUM(E76:E80)</f>
        <v>1310</v>
      </c>
    </row>
    <row r="82" spans="1:5" x14ac:dyDescent="0.25">
      <c r="A82" t="s">
        <v>42</v>
      </c>
      <c r="E82" s="12">
        <v>10000</v>
      </c>
    </row>
    <row r="84" spans="1:5" x14ac:dyDescent="0.25">
      <c r="A84" s="11" t="s">
        <v>60</v>
      </c>
    </row>
    <row r="85" spans="1:5" x14ac:dyDescent="0.25">
      <c r="A85" s="7" t="s">
        <v>16</v>
      </c>
      <c r="B85" t="s">
        <v>61</v>
      </c>
    </row>
    <row r="86" spans="1:5" x14ac:dyDescent="0.25">
      <c r="A86" t="s">
        <v>22</v>
      </c>
    </row>
    <row r="87" spans="1:5" x14ac:dyDescent="0.25">
      <c r="A87" t="s">
        <v>18</v>
      </c>
      <c r="E87" s="8">
        <v>300</v>
      </c>
    </row>
    <row r="88" spans="1:5" x14ac:dyDescent="0.25">
      <c r="A88" t="s">
        <v>19</v>
      </c>
      <c r="E88" s="8">
        <v>120</v>
      </c>
    </row>
    <row r="89" spans="1:5" x14ac:dyDescent="0.25">
      <c r="A89" t="s">
        <v>20</v>
      </c>
      <c r="E89" s="8">
        <v>50</v>
      </c>
    </row>
    <row r="90" spans="1:5" x14ac:dyDescent="0.25">
      <c r="A90" t="s">
        <v>21</v>
      </c>
      <c r="E90" s="8">
        <v>300</v>
      </c>
    </row>
    <row r="91" spans="1:5" x14ac:dyDescent="0.25">
      <c r="A91" t="s">
        <v>23</v>
      </c>
      <c r="E91" s="8">
        <v>200</v>
      </c>
    </row>
    <row r="92" spans="1:5" x14ac:dyDescent="0.25">
      <c r="A92" s="15" t="s">
        <v>35</v>
      </c>
      <c r="B92" s="15"/>
      <c r="C92" s="15"/>
      <c r="D92" s="15"/>
      <c r="E92" s="16">
        <v>264</v>
      </c>
    </row>
    <row r="93" spans="1:5" x14ac:dyDescent="0.25">
      <c r="A93" t="s">
        <v>36</v>
      </c>
      <c r="E93" s="8">
        <v>120</v>
      </c>
    </row>
    <row r="94" spans="1:5" x14ac:dyDescent="0.25">
      <c r="A94" t="s">
        <v>37</v>
      </c>
      <c r="E94" s="8">
        <v>130</v>
      </c>
    </row>
    <row r="95" spans="1:5" x14ac:dyDescent="0.25">
      <c r="A95" t="s">
        <v>38</v>
      </c>
      <c r="E95" s="8">
        <v>560</v>
      </c>
    </row>
    <row r="96" spans="1:5" x14ac:dyDescent="0.25">
      <c r="A96" t="s">
        <v>39</v>
      </c>
      <c r="E96" s="8">
        <v>450</v>
      </c>
    </row>
    <row r="97" spans="1:5" x14ac:dyDescent="0.25">
      <c r="A97" t="s">
        <v>40</v>
      </c>
      <c r="E97" s="8">
        <v>50</v>
      </c>
    </row>
    <row r="98" spans="1:5" x14ac:dyDescent="0.25">
      <c r="A98" t="s">
        <v>62</v>
      </c>
      <c r="E98" s="8">
        <v>3000</v>
      </c>
    </row>
    <row r="99" spans="1:5" x14ac:dyDescent="0.25">
      <c r="D99" s="6" t="s">
        <v>64</v>
      </c>
      <c r="E99" s="12">
        <f>SUM(E87:E98)</f>
        <v>5544</v>
      </c>
    </row>
    <row r="100" spans="1:5" x14ac:dyDescent="0.25">
      <c r="A100" s="7" t="s">
        <v>48</v>
      </c>
      <c r="B100" t="s">
        <v>65</v>
      </c>
      <c r="E100" s="8">
        <v>10000</v>
      </c>
    </row>
    <row r="101" spans="1:5" x14ac:dyDescent="0.25">
      <c r="E101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FC13-E641-4913-9C39-2960E52E8688}">
  <dimension ref="A1:J79"/>
  <sheetViews>
    <sheetView topLeftCell="A55" workbookViewId="0">
      <selection activeCell="A18" sqref="A18"/>
    </sheetView>
  </sheetViews>
  <sheetFormatPr baseColWidth="10" defaultRowHeight="15" x14ac:dyDescent="0.25"/>
  <cols>
    <col min="7" max="7" width="12.140625" bestFit="1" customWidth="1"/>
    <col min="8" max="8" width="14.5703125" customWidth="1"/>
    <col min="9" max="9" width="13.28515625" bestFit="1" customWidth="1"/>
  </cols>
  <sheetData>
    <row r="1" spans="1:6" x14ac:dyDescent="0.25">
      <c r="A1" s="2" t="s">
        <v>70</v>
      </c>
      <c r="B1" s="11" t="s">
        <v>67</v>
      </c>
    </row>
    <row r="2" spans="1:6" x14ac:dyDescent="0.25">
      <c r="A2" t="s">
        <v>66</v>
      </c>
      <c r="B2">
        <v>120</v>
      </c>
      <c r="C2">
        <v>100</v>
      </c>
      <c r="D2">
        <v>120</v>
      </c>
      <c r="E2" s="18">
        <f>(B2*C2*D2)/6000</f>
        <v>240</v>
      </c>
      <c r="F2" s="18" t="s">
        <v>68</v>
      </c>
    </row>
    <row r="3" spans="1:6" x14ac:dyDescent="0.25">
      <c r="B3" t="s">
        <v>69</v>
      </c>
    </row>
    <row r="4" spans="1:6" x14ac:dyDescent="0.25">
      <c r="A4" t="s">
        <v>66</v>
      </c>
      <c r="B4" s="17">
        <v>1.2</v>
      </c>
      <c r="C4" s="17">
        <v>1</v>
      </c>
      <c r="D4" s="17">
        <v>1.2</v>
      </c>
    </row>
    <row r="6" spans="1:6" ht="18.75" x14ac:dyDescent="0.3">
      <c r="A6" s="1" t="s">
        <v>6</v>
      </c>
      <c r="B6" s="1"/>
      <c r="C6" s="1"/>
    </row>
    <row r="7" spans="1:6" ht="18.75" x14ac:dyDescent="0.3">
      <c r="A7" s="1" t="s">
        <v>72</v>
      </c>
      <c r="B7" s="1"/>
      <c r="C7" s="1"/>
    </row>
    <row r="8" spans="1:6" ht="18.75" x14ac:dyDescent="0.3">
      <c r="A8" s="1" t="s">
        <v>73</v>
      </c>
      <c r="B8" s="1"/>
      <c r="C8" s="1"/>
    </row>
    <row r="9" spans="1:6" ht="18.75" x14ac:dyDescent="0.3">
      <c r="A9" s="1" t="s">
        <v>25</v>
      </c>
    </row>
    <row r="11" spans="1:6" x14ac:dyDescent="0.25">
      <c r="A11" t="s">
        <v>74</v>
      </c>
    </row>
    <row r="13" spans="1:6" x14ac:dyDescent="0.25">
      <c r="A13" s="6" t="s">
        <v>68</v>
      </c>
      <c r="B13">
        <f>240*10</f>
        <v>2400</v>
      </c>
      <c r="C13" t="s">
        <v>68</v>
      </c>
    </row>
    <row r="14" spans="1:6" x14ac:dyDescent="0.25">
      <c r="A14" s="6" t="s">
        <v>75</v>
      </c>
      <c r="B14" s="6">
        <f>10*250</f>
        <v>2500</v>
      </c>
      <c r="C14" s="6" t="s">
        <v>11</v>
      </c>
    </row>
    <row r="16" spans="1:6" x14ac:dyDescent="0.25">
      <c r="A16" t="s">
        <v>76</v>
      </c>
    </row>
    <row r="18" spans="1:10" x14ac:dyDescent="0.25">
      <c r="A18" s="11" t="s">
        <v>77</v>
      </c>
      <c r="B18" s="2"/>
    </row>
    <row r="19" spans="1:10" x14ac:dyDescent="0.25">
      <c r="A19" s="7" t="s">
        <v>16</v>
      </c>
      <c r="B19" t="s">
        <v>78</v>
      </c>
    </row>
    <row r="20" spans="1:10" x14ac:dyDescent="0.25">
      <c r="A20" t="s">
        <v>81</v>
      </c>
      <c r="I20" s="8">
        <v>150</v>
      </c>
    </row>
    <row r="21" spans="1:10" x14ac:dyDescent="0.25">
      <c r="A21" t="s">
        <v>79</v>
      </c>
      <c r="I21" s="8">
        <v>250</v>
      </c>
    </row>
    <row r="22" spans="1:10" x14ac:dyDescent="0.25">
      <c r="A22" t="s">
        <v>80</v>
      </c>
      <c r="I22" s="8">
        <v>120</v>
      </c>
    </row>
    <row r="23" spans="1:10" x14ac:dyDescent="0.25">
      <c r="G23" t="s">
        <v>101</v>
      </c>
      <c r="I23" s="12">
        <f>SUM(I20:I22)</f>
        <v>520</v>
      </c>
    </row>
    <row r="24" spans="1:10" x14ac:dyDescent="0.25">
      <c r="A24" s="7" t="s">
        <v>48</v>
      </c>
      <c r="B24" t="s">
        <v>82</v>
      </c>
    </row>
    <row r="25" spans="1:10" x14ac:dyDescent="0.25">
      <c r="A25" t="s">
        <v>83</v>
      </c>
      <c r="I25" s="8">
        <v>3000</v>
      </c>
    </row>
    <row r="26" spans="1:10" x14ac:dyDescent="0.25">
      <c r="A26" t="s">
        <v>87</v>
      </c>
      <c r="I26" s="8">
        <v>600</v>
      </c>
    </row>
    <row r="27" spans="1:10" x14ac:dyDescent="0.25">
      <c r="A27" t="s">
        <v>84</v>
      </c>
      <c r="I27" s="8">
        <v>450</v>
      </c>
    </row>
    <row r="28" spans="1:10" x14ac:dyDescent="0.25">
      <c r="A28" t="s">
        <v>85</v>
      </c>
      <c r="I28" s="8">
        <v>120</v>
      </c>
      <c r="J28" t="s">
        <v>102</v>
      </c>
    </row>
    <row r="29" spans="1:10" x14ac:dyDescent="0.25">
      <c r="A29" t="s">
        <v>86</v>
      </c>
      <c r="I29" s="8">
        <v>300</v>
      </c>
    </row>
    <row r="30" spans="1:10" x14ac:dyDescent="0.25">
      <c r="A30" t="s">
        <v>88</v>
      </c>
      <c r="I30" s="8">
        <v>150</v>
      </c>
    </row>
    <row r="31" spans="1:10" x14ac:dyDescent="0.25">
      <c r="A31" t="s">
        <v>89</v>
      </c>
      <c r="I31" s="8">
        <v>250</v>
      </c>
    </row>
    <row r="32" spans="1:10" x14ac:dyDescent="0.25">
      <c r="A32" t="s">
        <v>90</v>
      </c>
      <c r="I32" s="8">
        <v>3000</v>
      </c>
    </row>
    <row r="33" spans="1:9" x14ac:dyDescent="0.25">
      <c r="A33" t="s">
        <v>91</v>
      </c>
      <c r="I33" s="8">
        <v>50</v>
      </c>
    </row>
    <row r="34" spans="1:9" x14ac:dyDescent="0.25">
      <c r="G34" s="6" t="s">
        <v>100</v>
      </c>
      <c r="H34" s="6"/>
      <c r="I34" s="12">
        <f>SUM(I25:I33)</f>
        <v>7920</v>
      </c>
    </row>
    <row r="35" spans="1:9" x14ac:dyDescent="0.25">
      <c r="A35" t="s">
        <v>42</v>
      </c>
      <c r="I35" s="12">
        <v>10000</v>
      </c>
    </row>
    <row r="36" spans="1:9" x14ac:dyDescent="0.25">
      <c r="I36" s="12"/>
    </row>
    <row r="37" spans="1:9" x14ac:dyDescent="0.25">
      <c r="I37" s="12"/>
    </row>
    <row r="38" spans="1:9" x14ac:dyDescent="0.25">
      <c r="A38" t="s">
        <v>92</v>
      </c>
      <c r="B38" t="s">
        <v>93</v>
      </c>
    </row>
    <row r="39" spans="1:9" x14ac:dyDescent="0.25">
      <c r="A39" t="s">
        <v>94</v>
      </c>
      <c r="B39" t="s">
        <v>95</v>
      </c>
    </row>
    <row r="40" spans="1:9" x14ac:dyDescent="0.25">
      <c r="A40" t="s">
        <v>98</v>
      </c>
      <c r="E40" t="s">
        <v>96</v>
      </c>
      <c r="G40" s="8">
        <v>1.2</v>
      </c>
      <c r="H40" t="s">
        <v>97</v>
      </c>
    </row>
    <row r="41" spans="1:9" x14ac:dyDescent="0.25">
      <c r="E41" s="6" t="s">
        <v>99</v>
      </c>
      <c r="F41" s="6"/>
      <c r="G41" s="12">
        <f>G40*2500</f>
        <v>3000</v>
      </c>
    </row>
    <row r="44" spans="1:9" x14ac:dyDescent="0.25">
      <c r="A44" s="11" t="s">
        <v>103</v>
      </c>
      <c r="B44" s="2"/>
    </row>
    <row r="45" spans="1:9" x14ac:dyDescent="0.25">
      <c r="A45" s="7" t="s">
        <v>16</v>
      </c>
      <c r="B45" t="s">
        <v>104</v>
      </c>
    </row>
    <row r="46" spans="1:9" x14ac:dyDescent="0.25">
      <c r="A46" t="s">
        <v>81</v>
      </c>
      <c r="I46" s="8">
        <v>150</v>
      </c>
    </row>
    <row r="47" spans="1:9" x14ac:dyDescent="0.25">
      <c r="A47" t="s">
        <v>79</v>
      </c>
      <c r="I47" s="8">
        <v>250</v>
      </c>
    </row>
    <row r="48" spans="1:9" x14ac:dyDescent="0.25">
      <c r="A48" t="s">
        <v>80</v>
      </c>
      <c r="I48" s="8">
        <v>120</v>
      </c>
    </row>
    <row r="49" spans="1:10" x14ac:dyDescent="0.25">
      <c r="A49" t="s">
        <v>83</v>
      </c>
      <c r="I49" s="8">
        <v>3000</v>
      </c>
    </row>
    <row r="50" spans="1:10" x14ac:dyDescent="0.25">
      <c r="A50" t="s">
        <v>87</v>
      </c>
      <c r="I50" s="8">
        <v>600</v>
      </c>
    </row>
    <row r="51" spans="1:10" x14ac:dyDescent="0.25">
      <c r="A51" t="s">
        <v>88</v>
      </c>
      <c r="I51" s="8">
        <v>150</v>
      </c>
    </row>
    <row r="52" spans="1:10" x14ac:dyDescent="0.25">
      <c r="A52" t="s">
        <v>89</v>
      </c>
      <c r="I52" s="8">
        <v>250</v>
      </c>
    </row>
    <row r="53" spans="1:10" x14ac:dyDescent="0.25">
      <c r="A53" t="s">
        <v>107</v>
      </c>
      <c r="I53" s="8">
        <v>150</v>
      </c>
    </row>
    <row r="54" spans="1:10" x14ac:dyDescent="0.25">
      <c r="G54" t="s">
        <v>105</v>
      </c>
      <c r="I54" s="12">
        <f>SUM(I46:I53)</f>
        <v>4670</v>
      </c>
    </row>
    <row r="55" spans="1:10" x14ac:dyDescent="0.25">
      <c r="A55" s="7" t="s">
        <v>48</v>
      </c>
      <c r="B55" t="s">
        <v>106</v>
      </c>
    </row>
    <row r="56" spans="1:10" x14ac:dyDescent="0.25">
      <c r="A56" t="s">
        <v>90</v>
      </c>
      <c r="I56" s="8">
        <v>3000</v>
      </c>
    </row>
    <row r="57" spans="1:10" x14ac:dyDescent="0.25">
      <c r="A57" t="s">
        <v>91</v>
      </c>
      <c r="I57" s="8">
        <v>50</v>
      </c>
    </row>
    <row r="58" spans="1:10" x14ac:dyDescent="0.25">
      <c r="A58" t="s">
        <v>85</v>
      </c>
      <c r="I58" s="8">
        <v>120</v>
      </c>
      <c r="J58" t="s">
        <v>102</v>
      </c>
    </row>
    <row r="59" spans="1:10" x14ac:dyDescent="0.25">
      <c r="A59" t="s">
        <v>42</v>
      </c>
      <c r="I59" s="12">
        <v>10000</v>
      </c>
    </row>
    <row r="60" spans="1:10" x14ac:dyDescent="0.25">
      <c r="I60" s="8">
        <f>SUM(I56:I59)</f>
        <v>13170</v>
      </c>
    </row>
    <row r="62" spans="1:10" x14ac:dyDescent="0.25">
      <c r="A62" s="11" t="s">
        <v>108</v>
      </c>
      <c r="B62" s="2"/>
    </row>
    <row r="63" spans="1:10" x14ac:dyDescent="0.25">
      <c r="A63" s="7" t="s">
        <v>16</v>
      </c>
      <c r="B63" t="s">
        <v>109</v>
      </c>
    </row>
    <row r="64" spans="1:10" x14ac:dyDescent="0.25">
      <c r="A64" t="s">
        <v>81</v>
      </c>
      <c r="I64" s="8">
        <v>150</v>
      </c>
    </row>
    <row r="65" spans="1:10" x14ac:dyDescent="0.25">
      <c r="A65" t="s">
        <v>79</v>
      </c>
      <c r="I65" s="8">
        <v>250</v>
      </c>
    </row>
    <row r="66" spans="1:10" x14ac:dyDescent="0.25">
      <c r="A66" t="s">
        <v>80</v>
      </c>
      <c r="I66" s="8">
        <v>120</v>
      </c>
    </row>
    <row r="67" spans="1:10" x14ac:dyDescent="0.25">
      <c r="A67" t="s">
        <v>83</v>
      </c>
      <c r="I67" s="8">
        <v>3000</v>
      </c>
    </row>
    <row r="68" spans="1:10" x14ac:dyDescent="0.25">
      <c r="A68" t="s">
        <v>87</v>
      </c>
      <c r="I68" s="8">
        <v>600</v>
      </c>
    </row>
    <row r="69" spans="1:10" x14ac:dyDescent="0.25">
      <c r="A69" t="s">
        <v>88</v>
      </c>
      <c r="I69" s="8">
        <v>150</v>
      </c>
    </row>
    <row r="70" spans="1:10" x14ac:dyDescent="0.25">
      <c r="A70" t="s">
        <v>89</v>
      </c>
      <c r="I70" s="8">
        <v>250</v>
      </c>
    </row>
    <row r="71" spans="1:10" x14ac:dyDescent="0.25">
      <c r="A71" t="s">
        <v>107</v>
      </c>
      <c r="I71" s="8">
        <v>150</v>
      </c>
    </row>
    <row r="72" spans="1:10" x14ac:dyDescent="0.25">
      <c r="A72" t="s">
        <v>85</v>
      </c>
      <c r="I72" s="8">
        <v>120</v>
      </c>
      <c r="J72" t="s">
        <v>102</v>
      </c>
    </row>
    <row r="73" spans="1:10" x14ac:dyDescent="0.25">
      <c r="I73" s="8">
        <f>SUM(I64:I72)</f>
        <v>4790</v>
      </c>
    </row>
    <row r="75" spans="1:10" x14ac:dyDescent="0.25">
      <c r="A75" s="7" t="s">
        <v>48</v>
      </c>
      <c r="B75" t="s">
        <v>106</v>
      </c>
    </row>
    <row r="76" spans="1:10" x14ac:dyDescent="0.25">
      <c r="A76" t="s">
        <v>90</v>
      </c>
      <c r="I76" s="8">
        <v>3000</v>
      </c>
    </row>
    <row r="77" spans="1:10" x14ac:dyDescent="0.25">
      <c r="A77" t="s">
        <v>91</v>
      </c>
      <c r="I77" s="8">
        <v>50</v>
      </c>
    </row>
    <row r="78" spans="1:10" x14ac:dyDescent="0.25">
      <c r="A78" t="s">
        <v>42</v>
      </c>
      <c r="I78" s="12">
        <v>10000</v>
      </c>
    </row>
    <row r="79" spans="1:10" x14ac:dyDescent="0.25">
      <c r="I79" s="8">
        <f>SUM(I76:I78)</f>
        <v>13050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MARITIMA LCL ( SUELTA)</vt:lpstr>
      <vt:lpstr>CARGA AEREA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SILVA</dc:creator>
  <cp:lastModifiedBy>SHEILA SILVA</cp:lastModifiedBy>
  <dcterms:created xsi:type="dcterms:W3CDTF">2025-09-17T00:02:38Z</dcterms:created>
  <dcterms:modified xsi:type="dcterms:W3CDTF">2025-09-24T02:18:38Z</dcterms:modified>
</cp:coreProperties>
</file>